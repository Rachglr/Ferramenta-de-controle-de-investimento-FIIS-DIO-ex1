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 Paixão\Desktop\"/>
    </mc:Choice>
  </mc:AlternateContent>
  <xr:revisionPtr revIDLastSave="0" documentId="8_{C3434B37-42F8-42F3-B18F-0485A7EE6704}" xr6:coauthVersionLast="47" xr6:coauthVersionMax="47" xr10:uidLastSave="{00000000-0000-0000-0000-000000000000}"/>
  <bookViews>
    <workbookView xWindow="2268" yWindow="2268" windowWidth="17280" windowHeight="8880" xr2:uid="{7E40BCBC-9B4D-4ED0-9CA8-49F8FFCB6615}"/>
  </bookViews>
  <sheets>
    <sheet name="APP" sheetId="1" r:id="rId1"/>
    <sheet name="apoio" sheetId="2" r:id="rId2"/>
  </sheets>
  <definedNames>
    <definedName name="aporte">APP!$D$16</definedName>
    <definedName name="patrimonio">APP!$D$19</definedName>
    <definedName name="rendimento_carteira">APP!$D$12</definedName>
    <definedName name="salario">APP!$D$11</definedName>
    <definedName name="sugestao_investimento">APP!$D$13</definedName>
    <definedName name="taxa_mensal">APP!$D$18</definedName>
    <definedName name="tempo">APP!$D$17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2" l="1"/>
  <c r="A19" i="2"/>
  <c r="C36" i="1" s="1"/>
  <c r="A20" i="2"/>
  <c r="A21" i="2"/>
  <c r="A22" i="2"/>
  <c r="A17" i="2"/>
  <c r="A12" i="2"/>
  <c r="A13" i="2"/>
  <c r="A14" i="2"/>
  <c r="A15" i="2"/>
  <c r="A16" i="2"/>
  <c r="A11" i="2"/>
  <c r="A6" i="2"/>
  <c r="A7" i="2"/>
  <c r="A8" i="2"/>
  <c r="A9" i="2"/>
  <c r="A10" i="2"/>
  <c r="A5" i="2"/>
  <c r="C31" i="1"/>
  <c r="D19" i="1"/>
  <c r="D20" i="1" s="1"/>
  <c r="C24" i="1"/>
  <c r="D24" i="1" s="1"/>
  <c r="C25" i="1"/>
  <c r="D25" i="1" s="1"/>
  <c r="C26" i="1"/>
  <c r="D26" i="1" s="1"/>
  <c r="C27" i="1"/>
  <c r="D27" i="1" s="1"/>
  <c r="C23" i="1"/>
  <c r="D23" i="1" s="1"/>
  <c r="C38" i="1" l="1"/>
  <c r="D38" i="1" s="1"/>
  <c r="C34" i="1"/>
  <c r="D34" i="1" s="1"/>
  <c r="C39" i="1"/>
  <c r="D39" i="1" s="1"/>
  <c r="C35" i="1"/>
  <c r="D35" i="1" s="1"/>
  <c r="C37" i="1"/>
  <c r="D37" i="1" s="1"/>
  <c r="D36" i="1"/>
  <c r="D40" i="1" l="1"/>
</calcChain>
</file>

<file path=xl/sharedStrings.xml><?xml version="1.0" encoding="utf-8"?>
<sst xmlns="http://schemas.openxmlformats.org/spreadsheetml/2006/main" count="70" uniqueCount="34">
  <si>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</si>
  <si>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</si>
  <si>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</si>
  <si>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</si>
  <si>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</si>
  <si>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</si>
  <si>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</si>
  <si>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</si>
  <si>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</si>
  <si>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</si>
  <si>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</si>
  <si>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</si>
  <si>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</si>
  <si>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Salário</t>
  </si>
  <si>
    <t>Rendimento Carteira</t>
  </si>
  <si>
    <t>Sugestão de investimento</t>
  </si>
  <si>
    <t>CONFIGURAÇÕES</t>
  </si>
  <si>
    <t>PERFIL</t>
  </si>
  <si>
    <t>Conservador</t>
  </si>
  <si>
    <t>Moderado</t>
  </si>
  <si>
    <t>VALOR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</si>
  <si>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</si>
  <si>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</si>
  <si>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</si>
  <si>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</si>
  <si>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</si>
  <si>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</si>
  <si>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</si>
  <si>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</si>
  <si>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</t>
  </si>
  <si>
    <t>TOTAL</t>
  </si>
  <si>
    <t>%</t>
  </si>
  <si>
    <t>CHAVE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</si>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</sst>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 tint="0.59996337778862885"/>
      </left>
      <right style="medium">
        <color indexed="64"/>
      </right>
      <top style="thin">
        <color theme="6" tint="0.59996337778862885"/>
      </top>
      <bottom style="thin">
        <color theme="6" tint="0.59996337778862885"/>
      </bottom>
      <diagonal/>
    </border>
    <border>
      <left style="medium">
        <color indexed="64"/>
      </left>
      <right style="thin">
        <color theme="6" tint="0.59996337778862885"/>
      </right>
      <top style="thin">
        <color theme="6" tint="0.59996337778862885"/>
      </top>
      <bottom style="medium">
        <color indexed="64"/>
      </bottom>
      <diagonal/>
    </border>
    <border>
      <left style="thin">
        <color theme="6" tint="0.59996337778862885"/>
      </left>
      <right style="medium">
        <color indexed="64"/>
      </right>
      <top style="thin">
        <color theme="6" tint="0.59996337778862885"/>
      </top>
      <bottom style="medium">
        <color indexed="64"/>
      </bottom>
      <diagonal/>
    </border>
    <border>
      <left style="medium">
        <color indexed="64"/>
      </left>
      <right style="thin">
        <color theme="6" tint="0.59996337778862885"/>
      </right>
      <top/>
      <bottom style="thin">
        <color theme="6" tint="0.59996337778862885"/>
      </bottom>
      <diagonal/>
    </border>
    <border>
      <left style="thin">
        <color theme="6" tint="0.59996337778862885"/>
      </left>
      <right style="medium">
        <color indexed="64"/>
      </right>
      <top/>
      <bottom style="thin">
        <color theme="6" tint="0.59996337778862885"/>
      </bottom>
      <diagonal/>
    </border>
    <border>
      <left/>
      <right/>
      <top style="medium">
        <color indexed="64"/>
      </top>
      <bottom/>
      <diagonal/>
    </border>
    <border>
      <left style="thin">
        <color theme="6" tint="0.59996337778862885"/>
      </left>
      <right style="thin">
        <color theme="6" tint="0.59996337778862885"/>
      </right>
      <top/>
      <bottom style="thin">
        <color theme="6" tint="0.59996337778862885"/>
      </bottom>
      <diagonal/>
    </border>
    <border>
      <left style="thin">
        <color theme="6" tint="0.59996337778862885"/>
      </left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 tint="0.59996337778862885"/>
      </left>
      <right style="thin">
        <color theme="6" tint="0.59996337778862885"/>
      </right>
      <top style="thin">
        <color theme="6" tint="0.5999633777886288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8" fontId="3" fillId="4" borderId="5" xfId="0" applyNumberFormat="1" applyFont="1" applyFill="1" applyBorder="1" applyAlignment="1">
      <alignment horizontal="center"/>
    </xf>
    <xf numFmtId="8" fontId="3" fillId="4" borderId="7" xfId="0" applyNumberFormat="1" applyFont="1" applyFill="1" applyBorder="1" applyAlignment="1">
      <alignment horizontal="center"/>
    </xf>
    <xf numFmtId="0" fontId="4" fillId="0" borderId="0" xfId="0" applyFont="1"/>
    <xf numFmtId="9" fontId="0" fillId="0" borderId="0" xfId="0" applyNumberFormat="1" applyAlignment="1">
      <alignment horizontal="center"/>
    </xf>
    <xf numFmtId="165" fontId="0" fillId="0" borderId="9" xfId="1" applyNumberFormat="1" applyFont="1" applyBorder="1" applyAlignment="1">
      <alignment horizontal="center"/>
    </xf>
    <xf numFmtId="165" fontId="0" fillId="0" borderId="0" xfId="0" applyNumberFormat="1"/>
    <xf numFmtId="10" fontId="0" fillId="0" borderId="5" xfId="0" applyNumberFormat="1" applyBorder="1" applyAlignment="1">
      <alignment horizontal="center"/>
    </xf>
    <xf numFmtId="0" fontId="5" fillId="5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8" fontId="0" fillId="4" borderId="12" xfId="0" applyNumberFormat="1" applyFill="1" applyBorder="1" applyAlignment="1">
      <alignment horizontal="center"/>
    </xf>
    <xf numFmtId="8" fontId="0" fillId="4" borderId="5" xfId="0" applyNumberFormat="1" applyFill="1" applyBorder="1" applyAlignment="1">
      <alignment horizontal="center"/>
    </xf>
    <xf numFmtId="8" fontId="0" fillId="4" borderId="13" xfId="0" applyNumberFormat="1" applyFill="1" applyBorder="1" applyAlignment="1">
      <alignment horizontal="center"/>
    </xf>
    <xf numFmtId="8" fontId="0" fillId="4" borderId="7" xfId="0" applyNumberFormat="1" applyFill="1" applyBorder="1" applyAlignment="1">
      <alignment horizontal="center"/>
    </xf>
    <xf numFmtId="165" fontId="3" fillId="0" borderId="9" xfId="1" applyNumberFormat="1" applyFont="1" applyBorder="1" applyAlignment="1">
      <alignment horizontal="center"/>
    </xf>
    <xf numFmtId="8" fontId="0" fillId="4" borderId="9" xfId="0" applyNumberFormat="1" applyFill="1" applyBorder="1" applyAlignment="1">
      <alignment horizontal="center"/>
    </xf>
    <xf numFmtId="0" fontId="0" fillId="0" borderId="10" xfId="0" applyBorder="1"/>
    <xf numFmtId="0" fontId="6" fillId="3" borderId="2" xfId="0" applyFont="1" applyFill="1" applyBorder="1" applyAlignment="1">
      <alignment vertical="center"/>
    </xf>
    <xf numFmtId="0" fontId="8" fillId="4" borderId="4" xfId="0" applyFont="1" applyFill="1" applyBorder="1" applyAlignment="1">
      <alignment horizontal="left" indent="3"/>
    </xf>
    <xf numFmtId="0" fontId="8" fillId="4" borderId="6" xfId="0" applyFont="1" applyFill="1" applyBorder="1" applyAlignment="1">
      <alignment horizontal="left" indent="3"/>
    </xf>
    <xf numFmtId="165" fontId="0" fillId="6" borderId="7" xfId="0" applyNumberForma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2" fillId="2" borderId="0" xfId="2"/>
    <xf numFmtId="0" fontId="2" fillId="2" borderId="0" xfId="2" applyBorder="1" applyAlignment="1">
      <alignment horizontal="center"/>
    </xf>
    <xf numFmtId="0" fontId="3" fillId="6" borderId="0" xfId="0" applyFont="1" applyFill="1"/>
    <xf numFmtId="0" fontId="2" fillId="2" borderId="0" xfId="2" applyBorder="1" applyAlignment="1"/>
    <xf numFmtId="165" fontId="3" fillId="6" borderId="0" xfId="0" applyNumberFormat="1" applyFont="1" applyFill="1" applyAlignment="1">
      <alignment horizontal="center"/>
    </xf>
    <xf numFmtId="165" fontId="3" fillId="6" borderId="0" xfId="0" applyNumberFormat="1" applyFont="1" applyFill="1"/>
    <xf numFmtId="165" fontId="0" fillId="6" borderId="0" xfId="0" applyNumberFormat="1" applyFill="1"/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165" fontId="0" fillId="4" borderId="0" xfId="0" applyNumberFormat="1" applyFill="1"/>
    <xf numFmtId="164" fontId="3" fillId="6" borderId="5" xfId="0" applyNumberFormat="1" applyFont="1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4" fillId="7" borderId="1" xfId="0" applyFont="1" applyFill="1" applyBorder="1"/>
    <xf numFmtId="0" fontId="4" fillId="7" borderId="10" xfId="0" applyFont="1" applyFill="1" applyBorder="1"/>
    <xf numFmtId="0" fontId="4" fillId="7" borderId="10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0" fillId="0" borderId="15" xfId="0" applyBorder="1"/>
    <xf numFmtId="9" fontId="0" fillId="0" borderId="16" xfId="0" applyNumberFormat="1" applyBorder="1" applyAlignment="1">
      <alignment horizontal="center"/>
    </xf>
    <xf numFmtId="0" fontId="0" fillId="0" borderId="17" xfId="0" applyBorder="1"/>
    <xf numFmtId="9" fontId="0" fillId="0" borderId="18" xfId="0" applyNumberForma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0" xfId="0" applyBorder="1" applyAlignment="1">
      <alignment horizontal="center"/>
    </xf>
    <xf numFmtId="9" fontId="0" fillId="0" borderId="21" xfId="0" applyNumberFormat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left" indent="3"/>
    </xf>
    <xf numFmtId="0" fontId="8" fillId="6" borderId="11" xfId="0" applyFont="1" applyFill="1" applyBorder="1" applyAlignment="1">
      <alignment horizontal="left" indent="3"/>
    </xf>
    <xf numFmtId="0" fontId="8" fillId="6" borderId="4" xfId="0" applyFont="1" applyFill="1" applyBorder="1" applyAlignment="1">
      <alignment horizontal="left" indent="3"/>
    </xf>
    <xf numFmtId="0" fontId="8" fillId="6" borderId="12" xfId="0" applyFont="1" applyFill="1" applyBorder="1" applyAlignment="1">
      <alignment horizontal="left" indent="3"/>
    </xf>
    <xf numFmtId="0" fontId="9" fillId="4" borderId="4" xfId="0" applyFont="1" applyFill="1" applyBorder="1" applyAlignment="1">
      <alignment horizontal="left" indent="3"/>
    </xf>
    <xf numFmtId="0" fontId="9" fillId="4" borderId="12" xfId="0" applyFont="1" applyFill="1" applyBorder="1" applyAlignment="1">
      <alignment horizontal="left" indent="3"/>
    </xf>
    <xf numFmtId="0" fontId="9" fillId="4" borderId="6" xfId="0" applyFont="1" applyFill="1" applyBorder="1" applyAlignment="1">
      <alignment horizontal="left" indent="3"/>
    </xf>
    <xf numFmtId="0" fontId="9" fillId="4" borderId="13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7" fillId="3" borderId="10" xfId="0" applyFont="1" applyFill="1" applyBorder="1" applyAlignment="1">
      <alignment vertical="center"/>
    </xf>
    <xf numFmtId="0" fontId="8" fillId="6" borderId="6" xfId="0" applyFont="1" applyFill="1" applyBorder="1" applyAlignment="1">
      <alignment horizontal="left" indent="3"/>
    </xf>
    <xf numFmtId="0" fontId="8" fillId="6" borderId="13" xfId="0" applyFont="1" applyFill="1" applyBorder="1" applyAlignment="1">
      <alignment horizontal="left" indent="3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312421</xdr:colOff>
      <xdr:row>1</xdr:row>
      <xdr:rowOff>99060</xdr:rowOff>
    </xdr:from>
    <xdr:to>
      <xdr:col>4</xdr:col>
      <xdr:colOff>594360</xdr:colOff>
      <xdr:row>7</xdr:row>
      <xdr:rowOff>160020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C7AA63E-EB12-39D7-AD77-4F5617078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1" y="281940"/>
          <a:ext cx="4945379" cy="115824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53A70-2136-461A-B3CB-3D4ACF595D04}">
  <dimension ref="A9:F53"/>
  <sheetViews>
    <sheetView showGridLines="0" tabSelected="1" workbookViewId="0">
      <selection activeCell="C30" sqref="C30"/>
    </sheetView>
  </sheetViews>
  <sheetFormatPr defaultColWidth="0" defaultRowHeight="14.4" x14ac:dyDescent="0.3"/>
  <cols>
    <col min="1" max="1" width="7.21875" customWidth="1"/>
    <col min="2" max="2" width="30" customWidth="1"/>
    <col min="3" max="3" width="18.109375" customWidth="1"/>
    <col min="4" max="4" width="12.6640625" bestFit="1" customWidth="1"/>
    <col min="5" max="5" width="22.109375" bestFit="1" customWidth="1"/>
    <col min="6" max="6" width="11.88671875" hidden="1" customWidth="1"/>
    <col min="7" max="11" width="8.88671875" hidden="1" customWidth="1"/>
    <col min="12" max="16384" width="8.88671875" hidden="1"/>
  </cols>
  <sheetData>
    <row r="9" spans="2:4" ht="15" thickBot="1" x14ac:dyDescent="0.35"/>
    <row r="10" spans="2:4" ht="25.8" x14ac:dyDescent="0.3">
      <c r="B10" s="51" t="s">
        <v>16</v>
      </c>
      <c r="C10" s="52"/>
      <c r="D10" s="9"/>
    </row>
    <row r="11" spans="2:4" ht="15.6" x14ac:dyDescent="0.3">
      <c r="B11" s="53" t="s">
        <v>13</v>
      </c>
      <c r="C11" s="54"/>
      <c r="D11" s="6">
        <v>1621</v>
      </c>
    </row>
    <row r="12" spans="2:4" ht="15.6" x14ac:dyDescent="0.3">
      <c r="B12" s="55" t="s">
        <v>14</v>
      </c>
      <c r="C12" s="56"/>
      <c r="D12" s="8">
        <v>6.0000000000000001E-3</v>
      </c>
    </row>
    <row r="13" spans="2:4" ht="16.2" thickBot="1" x14ac:dyDescent="0.35">
      <c r="B13" s="65" t="s">
        <v>15</v>
      </c>
      <c r="C13" s="66"/>
      <c r="D13" s="21">
        <v>100</v>
      </c>
    </row>
    <row r="14" spans="2:4" ht="15" thickBot="1" x14ac:dyDescent="0.35">
      <c r="D14" s="17"/>
    </row>
    <row r="15" spans="2:4" ht="28.2" customHeight="1" x14ac:dyDescent="0.3">
      <c r="B15" s="61" t="s">
        <v>5</v>
      </c>
      <c r="C15" s="62"/>
      <c r="D15" s="10"/>
    </row>
    <row r="16" spans="2:4" ht="15.6" x14ac:dyDescent="0.3">
      <c r="B16" s="53" t="s">
        <v>0</v>
      </c>
      <c r="C16" s="54"/>
      <c r="D16" s="15">
        <v>1260</v>
      </c>
    </row>
    <row r="17" spans="1:6" ht="15.6" x14ac:dyDescent="0.3">
      <c r="B17" s="55" t="s">
        <v>1</v>
      </c>
      <c r="C17" s="56"/>
      <c r="D17" s="22">
        <v>10</v>
      </c>
    </row>
    <row r="18" spans="1:6" ht="15.6" x14ac:dyDescent="0.3">
      <c r="B18" s="55" t="s">
        <v>2</v>
      </c>
      <c r="C18" s="56"/>
      <c r="D18" s="34">
        <v>1.0789999999999999E-2</v>
      </c>
    </row>
    <row r="19" spans="1:6" ht="15.6" x14ac:dyDescent="0.3">
      <c r="B19" s="57" t="s">
        <v>3</v>
      </c>
      <c r="C19" s="58"/>
      <c r="D19" s="2">
        <f>FV(taxa_mensal,tempo*12,aporte*-1)</f>
        <v>306538.10778801696</v>
      </c>
    </row>
    <row r="20" spans="1:6" ht="16.2" thickBot="1" x14ac:dyDescent="0.35">
      <c r="B20" s="59" t="s">
        <v>4</v>
      </c>
      <c r="C20" s="60"/>
      <c r="D20" s="3">
        <f>patrimonio*rendimento_carteira</f>
        <v>1839.2286467281017</v>
      </c>
    </row>
    <row r="21" spans="1:6" ht="15" thickBot="1" x14ac:dyDescent="0.35"/>
    <row r="22" spans="1:6" ht="25.8" x14ac:dyDescent="0.3">
      <c r="B22" s="63" t="s">
        <v>11</v>
      </c>
      <c r="C22" s="64"/>
      <c r="D22" s="18" t="s">
        <v>12</v>
      </c>
      <c r="F22" s="7"/>
    </row>
    <row r="23" spans="1:6" ht="15.6" x14ac:dyDescent="0.3">
      <c r="A23" s="4">
        <v>2</v>
      </c>
      <c r="B23" s="19" t="s">
        <v>6</v>
      </c>
      <c r="C23" s="11">
        <f>FV($D$18,$A23*12,$D$16*-1)</f>
        <v>34306.810395032975</v>
      </c>
      <c r="D23" s="16">
        <f>C23*rendimento_carteira</f>
        <v>205.84086237019787</v>
      </c>
      <c r="E23" s="1"/>
    </row>
    <row r="24" spans="1:6" ht="15.6" x14ac:dyDescent="0.3">
      <c r="A24" s="4">
        <v>5</v>
      </c>
      <c r="B24" s="19" t="s">
        <v>7</v>
      </c>
      <c r="C24" s="11">
        <f>FV($D$18,$A24*12,$D$16*-1)</f>
        <v>105558.91163809443</v>
      </c>
      <c r="D24" s="12">
        <f>C24*rendimento_carteira</f>
        <v>633.35346982856663</v>
      </c>
      <c r="E24" s="1"/>
    </row>
    <row r="25" spans="1:6" ht="15.6" x14ac:dyDescent="0.3">
      <c r="A25" s="4">
        <v>10</v>
      </c>
      <c r="B25" s="19" t="s">
        <v>8</v>
      </c>
      <c r="C25" s="11">
        <f>FV($D$18,$A25*12,$D$16*-1)</f>
        <v>306538.10778801696</v>
      </c>
      <c r="D25" s="12">
        <f>C25*rendimento_carteira</f>
        <v>1839.2286467281017</v>
      </c>
      <c r="E25" s="1"/>
    </row>
    <row r="26" spans="1:6" ht="15.6" x14ac:dyDescent="0.3">
      <c r="A26" s="4">
        <v>20</v>
      </c>
      <c r="B26" s="19" t="s">
        <v>9</v>
      </c>
      <c r="C26" s="11">
        <f>FV($D$18,$A26*12,$D$16*-1)</f>
        <v>1417749.9841223215</v>
      </c>
      <c r="D26" s="12">
        <f>C26*rendimento_carteira</f>
        <v>8506.4999047339297</v>
      </c>
      <c r="E26" s="1"/>
    </row>
    <row r="27" spans="1:6" ht="16.2" thickBot="1" x14ac:dyDescent="0.35">
      <c r="A27" s="4">
        <v>30</v>
      </c>
      <c r="B27" s="20" t="s">
        <v>10</v>
      </c>
      <c r="C27" s="13">
        <f>FV($D$18,$A27*12,$D$16*-1)</f>
        <v>5445933.7653059401</v>
      </c>
      <c r="D27" s="14">
        <f>C27*rendimento_carteira</f>
        <v>32675.602591835643</v>
      </c>
      <c r="E27" s="1"/>
    </row>
    <row r="30" spans="1:6" x14ac:dyDescent="0.3">
      <c r="B30" s="23" t="s">
        <v>17</v>
      </c>
      <c r="C30" s="24" t="s">
        <v>18</v>
      </c>
      <c r="D30" s="26"/>
    </row>
    <row r="31" spans="1:6" x14ac:dyDescent="0.3">
      <c r="B31" s="25" t="s">
        <v>20</v>
      </c>
      <c r="C31" s="27">
        <f>aporte</f>
        <v>1260</v>
      </c>
      <c r="D31" s="28"/>
    </row>
    <row r="33" spans="2:4" x14ac:dyDescent="0.3">
      <c r="B33" s="30" t="s">
        <v>21</v>
      </c>
      <c r="C33" s="30" t="s">
        <v>22</v>
      </c>
      <c r="D33" s="30" t="s">
        <v>23</v>
      </c>
    </row>
    <row r="34" spans="2:4" x14ac:dyDescent="0.3">
      <c r="B34" s="1" t="s">
        <v>24</v>
      </c>
      <c r="C34" s="5">
        <f>VLOOKUP($C$30&amp;"-"&amp;B34,apoio!$A:$D,4,FALSE)</f>
        <v>0.3</v>
      </c>
      <c r="D34" s="29">
        <f>C34*$C$31</f>
        <v>378</v>
      </c>
    </row>
    <row r="35" spans="2:4" x14ac:dyDescent="0.3">
      <c r="B35" s="1" t="s">
        <v>25</v>
      </c>
      <c r="C35" s="5">
        <f>VLOOKUP($C$30&amp;"-"&amp;B35,apoio!$A:$D,4,FALSE)</f>
        <v>0.5</v>
      </c>
      <c r="D35" s="29">
        <f t="shared" ref="D35:D39" si="0">C35*$C$31</f>
        <v>630</v>
      </c>
    </row>
    <row r="36" spans="2:4" x14ac:dyDescent="0.3">
      <c r="B36" s="1" t="s">
        <v>26</v>
      </c>
      <c r="C36" s="5">
        <f>VLOOKUP($C$30&amp;"-"&amp;B36,apoio!$A:$D,4,FALSE)</f>
        <v>0.1</v>
      </c>
      <c r="D36" s="29">
        <f t="shared" si="0"/>
        <v>126</v>
      </c>
    </row>
    <row r="37" spans="2:4" x14ac:dyDescent="0.3">
      <c r="B37" s="1" t="s">
        <v>27</v>
      </c>
      <c r="C37" s="5">
        <f>VLOOKUP($C$30&amp;"-"&amp;B37,apoio!$A:$D,4,FALSE)</f>
        <v>0.1</v>
      </c>
      <c r="D37" s="29">
        <f t="shared" si="0"/>
        <v>126</v>
      </c>
    </row>
    <row r="38" spans="2:4" x14ac:dyDescent="0.3">
      <c r="B38" s="1" t="s">
        <v>28</v>
      </c>
      <c r="C38" s="5">
        <f>VLOOKUP($C$30&amp;"-"&amp;B38,apoio!$A:$D,4,FALSE)</f>
        <v>0</v>
      </c>
      <c r="D38" s="29">
        <f t="shared" si="0"/>
        <v>0</v>
      </c>
    </row>
    <row r="39" spans="2:4" x14ac:dyDescent="0.3">
      <c r="B39" s="1" t="s">
        <v>29</v>
      </c>
      <c r="C39" s="5">
        <f>VLOOKUP($C$30&amp;"-"&amp;B39,apoio!$A:$D,4,FALSE)</f>
        <v>0</v>
      </c>
      <c r="D39" s="29">
        <f t="shared" si="0"/>
        <v>0</v>
      </c>
    </row>
    <row r="40" spans="2:4" x14ac:dyDescent="0.3">
      <c r="B40" s="31" t="s">
        <v>30</v>
      </c>
      <c r="C40" s="32"/>
      <c r="D40" s="33">
        <f>SUM(D34:D39)</f>
        <v>1260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</sheetData>
  <mergeCells count="11">
    <mergeCell ref="B20:C20"/>
    <mergeCell ref="B15:C15"/>
    <mergeCell ref="B22:C22"/>
    <mergeCell ref="B11:C11"/>
    <mergeCell ref="B12:C12"/>
    <mergeCell ref="B13:C13"/>
    <mergeCell ref="B10:C10"/>
    <mergeCell ref="B16:C16"/>
    <mergeCell ref="B17:C17"/>
    <mergeCell ref="B18:C18"/>
    <mergeCell ref="B19:C19"/>
  </mergeCells>
  <dataValidations count="1">
    <dataValidation type="list" allowBlank="1" showInputMessage="1" showErrorMessage="1" sqref="C30" xr:uid="{A22A5FFA-E427-4D67-98D7-E06D2363479F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0738-F601-45A1-B0A4-AA3C3952B736}">
  <dimension ref="A3:D22"/>
  <sheetViews>
    <sheetView workbookViewId="0">
      <selection activeCell="A25" sqref="A25"/>
    </sheetView>
  </sheetViews>
  <sheetFormatPr defaultRowHeight="14.4" x14ac:dyDescent="0.3"/>
  <cols>
    <col min="1" max="1" width="29.21875" bestFit="1" customWidth="1"/>
    <col min="2" max="2" width="11.33203125" bestFit="1" customWidth="1"/>
    <col min="3" max="3" width="18" bestFit="1" customWidth="1"/>
    <col min="6" max="6" width="16.109375" bestFit="1" customWidth="1"/>
  </cols>
  <sheetData>
    <row r="3" spans="1:4" ht="15" thickBot="1" x14ac:dyDescent="0.35"/>
    <row r="4" spans="1:4" x14ac:dyDescent="0.3">
      <c r="A4" s="39" t="s">
        <v>32</v>
      </c>
      <c r="B4" s="40" t="s">
        <v>17</v>
      </c>
      <c r="C4" s="41" t="s">
        <v>21</v>
      </c>
      <c r="D4" s="42" t="s">
        <v>31</v>
      </c>
    </row>
    <row r="5" spans="1:4" x14ac:dyDescent="0.3">
      <c r="A5" s="43" t="str">
        <f t="shared" ref="A5:A10" si="0">$B$5&amp;"-"&amp;C5</f>
        <v>Conservador-PAPEL</v>
      </c>
      <c r="B5" s="35" t="s">
        <v>18</v>
      </c>
      <c r="C5" s="36" t="s">
        <v>24</v>
      </c>
      <c r="D5" s="44">
        <v>0.3</v>
      </c>
    </row>
    <row r="6" spans="1:4" x14ac:dyDescent="0.3">
      <c r="A6" s="45" t="str">
        <f t="shared" si="0"/>
        <v>Conservador-TIJOLO</v>
      </c>
      <c r="B6" s="37" t="s">
        <v>18</v>
      </c>
      <c r="C6" s="38" t="s">
        <v>25</v>
      </c>
      <c r="D6" s="46">
        <v>0.5</v>
      </c>
    </row>
    <row r="7" spans="1:4" x14ac:dyDescent="0.3">
      <c r="A7" s="45" t="str">
        <f t="shared" si="0"/>
        <v>Conservador-HÍBRIDOS</v>
      </c>
      <c r="B7" s="37" t="s">
        <v>18</v>
      </c>
      <c r="C7" s="38" t="s">
        <v>26</v>
      </c>
      <c r="D7" s="46">
        <v>0.1</v>
      </c>
    </row>
    <row r="8" spans="1:4" x14ac:dyDescent="0.3">
      <c r="A8" s="45" t="str">
        <f t="shared" si="0"/>
        <v>Conservador-FOFs</v>
      </c>
      <c r="B8" s="37" t="s">
        <v>18</v>
      </c>
      <c r="C8" s="38" t="s">
        <v>27</v>
      </c>
      <c r="D8" s="46">
        <v>0.1</v>
      </c>
    </row>
    <row r="9" spans="1:4" x14ac:dyDescent="0.3">
      <c r="A9" s="45" t="str">
        <f t="shared" si="0"/>
        <v>Conservador-DESENVOLVIMENTO</v>
      </c>
      <c r="B9" s="37" t="s">
        <v>18</v>
      </c>
      <c r="C9" s="38" t="s">
        <v>28</v>
      </c>
      <c r="D9" s="46">
        <v>0</v>
      </c>
    </row>
    <row r="10" spans="1:4" x14ac:dyDescent="0.3">
      <c r="A10" s="45" t="str">
        <f t="shared" si="0"/>
        <v>Conservador-HOTELARIA</v>
      </c>
      <c r="B10" s="37" t="s">
        <v>18</v>
      </c>
      <c r="C10" s="38" t="s">
        <v>29</v>
      </c>
      <c r="D10" s="46">
        <v>0</v>
      </c>
    </row>
    <row r="11" spans="1:4" x14ac:dyDescent="0.3">
      <c r="A11" s="45" t="str">
        <f t="shared" ref="A11:A16" si="1">$B$11&amp;"-"&amp;C11</f>
        <v>Moderado-PAPEL</v>
      </c>
      <c r="B11" s="37" t="s">
        <v>19</v>
      </c>
      <c r="C11" s="38" t="s">
        <v>24</v>
      </c>
      <c r="D11" s="46">
        <v>0.32</v>
      </c>
    </row>
    <row r="12" spans="1:4" x14ac:dyDescent="0.3">
      <c r="A12" s="45" t="str">
        <f t="shared" si="1"/>
        <v>Moderado-TIJOLO</v>
      </c>
      <c r="B12" s="37" t="s">
        <v>19</v>
      </c>
      <c r="C12" s="38" t="s">
        <v>25</v>
      </c>
      <c r="D12" s="46">
        <v>0.35</v>
      </c>
    </row>
    <row r="13" spans="1:4" x14ac:dyDescent="0.3">
      <c r="A13" s="45" t="str">
        <f t="shared" si="1"/>
        <v>Moderado-HÍBRIDOS</v>
      </c>
      <c r="B13" s="37" t="s">
        <v>19</v>
      </c>
      <c r="C13" s="38" t="s">
        <v>26</v>
      </c>
      <c r="D13" s="46">
        <v>0.08</v>
      </c>
    </row>
    <row r="14" spans="1:4" x14ac:dyDescent="0.3">
      <c r="A14" s="45" t="str">
        <f t="shared" si="1"/>
        <v>Moderado-FOFs</v>
      </c>
      <c r="B14" s="37" t="s">
        <v>19</v>
      </c>
      <c r="C14" s="38" t="s">
        <v>27</v>
      </c>
      <c r="D14" s="46">
        <v>0.05</v>
      </c>
    </row>
    <row r="15" spans="1:4" x14ac:dyDescent="0.3">
      <c r="A15" s="45" t="str">
        <f t="shared" si="1"/>
        <v>Moderado-DESENVOLVIMENTO</v>
      </c>
      <c r="B15" s="37" t="s">
        <v>19</v>
      </c>
      <c r="C15" s="38" t="s">
        <v>28</v>
      </c>
      <c r="D15" s="46">
        <v>0.1</v>
      </c>
    </row>
    <row r="16" spans="1:4" x14ac:dyDescent="0.3">
      <c r="A16" s="45" t="str">
        <f t="shared" si="1"/>
        <v>Moderado-HOTELARIA</v>
      </c>
      <c r="B16" s="37" t="s">
        <v>19</v>
      </c>
      <c r="C16" s="38" t="s">
        <v>29</v>
      </c>
      <c r="D16" s="46">
        <v>0.1</v>
      </c>
    </row>
    <row r="17" spans="1:4" x14ac:dyDescent="0.3">
      <c r="A17" s="45" t="str">
        <f>$B$17&amp;"-"&amp;C17</f>
        <v>Agressivo-PAPEL</v>
      </c>
      <c r="B17" s="37" t="s">
        <v>33</v>
      </c>
      <c r="C17" s="38" t="s">
        <v>24</v>
      </c>
      <c r="D17" s="46">
        <v>0.5</v>
      </c>
    </row>
    <row r="18" spans="1:4" x14ac:dyDescent="0.3">
      <c r="A18" s="45" t="str">
        <f t="shared" ref="A18:A22" si="2">$B$17&amp;"-"&amp;C18</f>
        <v>Agressivo-TIJOLO</v>
      </c>
      <c r="B18" s="37" t="s">
        <v>33</v>
      </c>
      <c r="C18" s="38" t="s">
        <v>25</v>
      </c>
      <c r="D18" s="46">
        <v>0.1</v>
      </c>
    </row>
    <row r="19" spans="1:4" x14ac:dyDescent="0.3">
      <c r="A19" s="45" t="str">
        <f t="shared" si="2"/>
        <v>Agressivo-HÍBRIDOS</v>
      </c>
      <c r="B19" s="37" t="s">
        <v>33</v>
      </c>
      <c r="C19" s="38" t="s">
        <v>26</v>
      </c>
      <c r="D19" s="46">
        <v>0.05</v>
      </c>
    </row>
    <row r="20" spans="1:4" x14ac:dyDescent="0.3">
      <c r="A20" s="45" t="str">
        <f t="shared" si="2"/>
        <v>Agressivo-FOFs</v>
      </c>
      <c r="B20" s="37" t="s">
        <v>33</v>
      </c>
      <c r="C20" s="38" t="s">
        <v>27</v>
      </c>
      <c r="D20" s="46">
        <v>0.05</v>
      </c>
    </row>
    <row r="21" spans="1:4" x14ac:dyDescent="0.3">
      <c r="A21" s="45" t="str">
        <f t="shared" si="2"/>
        <v>Agressivo-DESENVOLVIMENTO</v>
      </c>
      <c r="B21" s="37" t="s">
        <v>33</v>
      </c>
      <c r="C21" s="38" t="s">
        <v>28</v>
      </c>
      <c r="D21" s="46">
        <v>0.2</v>
      </c>
    </row>
    <row r="22" spans="1:4" ht="15" thickBot="1" x14ac:dyDescent="0.35">
      <c r="A22" s="47" t="str">
        <f t="shared" si="2"/>
        <v>Agressivo-HOTELARIA</v>
      </c>
      <c r="B22" s="48" t="s">
        <v>33</v>
      </c>
      <c r="C22" s="49" t="s">
        <v>29</v>
      </c>
      <c r="D22" s="5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apoio</vt:lpstr>
      <vt:lpstr>aporte</vt:lpstr>
      <vt:lpstr>patrimonio</vt:lpstr>
      <vt:lpstr>rendimento_carteira</vt:lpstr>
      <vt:lpstr>salario</vt:lpstr>
      <vt:lpstr>sugestao_investimento</vt:lpstr>
      <vt:lpstr>taxa_mensal</vt:lpstr>
      <vt:lpstr>tempo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SAMSUNG</dc:creator>
  <cp:lastModifiedBy>JEAN SAMSUNG</cp:lastModifiedBy>
  <dcterms:created xsi:type="dcterms:W3CDTF">2026-02-14T01:03:32Z</dcterms:created>
  <dcterms:modified xsi:type="dcterms:W3CDTF">2026-02-14T15:28:59Z</dcterms:modified>
</cp:coreProperties>
</file>